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ode\IPPS\IPPS\data\"/>
    </mc:Choice>
  </mc:AlternateContent>
  <xr:revisionPtr revIDLastSave="0" documentId="13_ncr:1_{083256C5-58A9-46A5-A2BA-0AB1BED1FFC0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staff" sheetId="2" r:id="rId1"/>
    <sheet name="machine" sheetId="4" r:id="rId2"/>
    <sheet name="final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6" l="1"/>
  <c r="F6" i="6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<sst xmlns="http://schemas.openxmlformats.org/spreadsheetml/2006/main" count="82" uniqueCount="37">
  <si>
    <t>部件</t>
  </si>
  <si>
    <t>工序</t>
  </si>
  <si>
    <t>机器</t>
  </si>
  <si>
    <t>难易度</t>
  </si>
  <si>
    <t>标准工时</t>
  </si>
  <si>
    <t>可替代工序</t>
  </si>
  <si>
    <t>前继工序</t>
  </si>
  <si>
    <t>前继工序数量</t>
  </si>
  <si>
    <t>P1</t>
  </si>
  <si>
    <t>A</t>
  </si>
  <si>
    <t>C</t>
  </si>
  <si>
    <t>P2</t>
  </si>
  <si>
    <t>B</t>
  </si>
  <si>
    <t>P3</t>
  </si>
  <si>
    <t>P0</t>
  </si>
  <si>
    <t>1、2、3、4</t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</si>
  <si>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0</t>
    </r>
  </si>
  <si>
    <t>H</t>
  </si>
  <si>
    <t>1、2、3、4、5</t>
  </si>
  <si>
    <t>1、2、3、4、5、6、7</t>
  </si>
  <si>
    <t>1、2、3、4、5、6、7、8</t>
  </si>
  <si>
    <t>1、2、3、4、5、6、7、8、9</t>
  </si>
  <si>
    <t>G</t>
  </si>
  <si>
    <t>D</t>
  </si>
  <si>
    <t>1、2、3、4、5、6、7、8、9、10</t>
  </si>
  <si>
    <t>E</t>
  </si>
  <si>
    <t>1、2、3、4、5、6、7、8、9、10、11</t>
  </si>
  <si>
    <t>1、2、3、4、5、6、7、8、9、10、11、12</t>
  </si>
  <si>
    <t>F</t>
  </si>
  <si>
    <t>1、2、3、4、5、6、7、8、9、10、11、12、13</t>
  </si>
  <si>
    <t>员工</t>
  </si>
  <si>
    <t>机器种类</t>
  </si>
  <si>
    <t>机器需求</t>
  </si>
  <si>
    <t>adjust_machine_num</t>
  </si>
  <si>
    <r>
      <rPr>
        <sz val="11"/>
        <color theme="1"/>
        <rFont val="等线"/>
        <charset val="134"/>
        <scheme val="minor"/>
      </rPr>
      <t>1、</t>
    </r>
    <r>
      <rPr>
        <sz val="11"/>
        <color theme="1"/>
        <rFont val="等线"/>
        <charset val="134"/>
        <scheme val="minor"/>
      </rPr>
      <t>2、3、4</t>
    </r>
  </si>
  <si>
    <r>
      <rPr>
        <sz val="11"/>
        <color theme="1"/>
        <rFont val="等线"/>
        <charset val="134"/>
        <scheme val="minor"/>
      </rPr>
      <t>1、2、3、4、</t>
    </r>
    <r>
      <rPr>
        <sz val="11"/>
        <color theme="1"/>
        <rFont val="等线"/>
        <charset val="134"/>
        <scheme val="minor"/>
      </rPr>
      <t>5</t>
    </r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</si>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</sst>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7" x14ac:knownFonts="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78" fontId="3" fillId="2" borderId="3" xfId="2" applyNumberFormat="1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left"/>
    </xf>
    <xf numFmtId="0" fontId="0" fillId="0" borderId="0" xfId="0" applyNumberFormat="1" applyFont="1"/>
    <xf numFmtId="0" fontId="1" fillId="0" borderId="2" xfId="0" applyFont="1" applyFill="1" applyBorder="1" applyAlignment="1">
      <alignment horizontal="center" vertical="top"/>
    </xf>
    <xf numFmtId="0" fontId="2" fillId="0" borderId="3" xfId="1" applyFont="1" applyFill="1" applyBorder="1" applyAlignment="1">
      <alignment horizontal="center" vertical="center"/>
    </xf>
  </cellXfs>
  <cellStyles count="3">
    <cellStyle name="常规" xfId="0" builtinId="0"/>
    <cellStyle name="常规 2 7 2 2" xfId="1" xr:uid="{00000000-0005-0000-0000-000031000000}"/>
    <cellStyle name="常规_新工序表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G26" sqref="G26"/>
    </sheetView>
  </sheetViews>
  <sheetFormatPr defaultColWidth="9" defaultRowHeight="13.9" x14ac:dyDescent="0.4"/>
  <cols>
    <col min="2" max="5" width="12.6640625"/>
  </cols>
  <sheetData>
    <row r="1" spans="1:5" x14ac:dyDescent="0.4">
      <c r="A1" t="s">
        <v>30</v>
      </c>
      <c r="B1" t="s">
        <v>9</v>
      </c>
      <c r="C1" t="s">
        <v>12</v>
      </c>
      <c r="D1" t="s">
        <v>10</v>
      </c>
      <c r="E1" t="s">
        <v>23</v>
      </c>
    </row>
    <row r="2" spans="1:5" x14ac:dyDescent="0.4">
      <c r="A2">
        <v>1</v>
      </c>
      <c r="B2">
        <f t="shared" ref="B2:B24" ca="1" si="0">RAND()*(1.2-0.8)+0.8</f>
        <v>0.99663264988117461</v>
      </c>
      <c r="C2">
        <f t="shared" ref="C2:C24" ca="1" si="1">RAND()*(1.2-0.8)+0.8</f>
        <v>1.1378201785937434</v>
      </c>
      <c r="D2">
        <f t="shared" ref="D2:D24" ca="1" si="2">RAND()*(1.2-0.8)+0.8</f>
        <v>1.0445240370186655</v>
      </c>
      <c r="E2">
        <f t="shared" ref="E2:E24" ca="1" si="3">RAND()*(1.2-0.8)+0.8</f>
        <v>0.81753687678272091</v>
      </c>
    </row>
    <row r="3" spans="1:5" x14ac:dyDescent="0.4">
      <c r="A3">
        <v>2</v>
      </c>
      <c r="B3">
        <f t="shared" ca="1" si="0"/>
        <v>0.95729893335456695</v>
      </c>
      <c r="C3">
        <f t="shared" ca="1" si="1"/>
        <v>1.0568933001993077</v>
      </c>
      <c r="D3">
        <f t="shared" ca="1" si="2"/>
        <v>1.1298320597698219</v>
      </c>
      <c r="E3">
        <f t="shared" ca="1" si="3"/>
        <v>1.0502446996231956</v>
      </c>
    </row>
    <row r="4" spans="1:5" x14ac:dyDescent="0.4">
      <c r="A4">
        <v>3</v>
      </c>
      <c r="B4">
        <f t="shared" ca="1" si="0"/>
        <v>1.1954729285459864</v>
      </c>
      <c r="C4">
        <f t="shared" ca="1" si="1"/>
        <v>0.88966598632620775</v>
      </c>
      <c r="D4">
        <f t="shared" ca="1" si="2"/>
        <v>0.85060370965552323</v>
      </c>
      <c r="E4">
        <f t="shared" ca="1" si="3"/>
        <v>0.8860431846985537</v>
      </c>
    </row>
    <row r="5" spans="1:5" x14ac:dyDescent="0.4">
      <c r="A5">
        <v>4</v>
      </c>
      <c r="B5">
        <f t="shared" ca="1" si="0"/>
        <v>0.92110437711468118</v>
      </c>
      <c r="C5">
        <f t="shared" ca="1" si="1"/>
        <v>1.0289861558054738</v>
      </c>
      <c r="D5">
        <f t="shared" ca="1" si="2"/>
        <v>1.1162948250138038</v>
      </c>
      <c r="E5">
        <f t="shared" ca="1" si="3"/>
        <v>1.0566857281206123</v>
      </c>
    </row>
    <row r="6" spans="1:5" x14ac:dyDescent="0.4">
      <c r="A6">
        <v>5</v>
      </c>
      <c r="B6">
        <f t="shared" ca="1" si="0"/>
        <v>0.99671422949838895</v>
      </c>
      <c r="C6">
        <f t="shared" ca="1" si="1"/>
        <v>1.0373079520923145</v>
      </c>
      <c r="D6">
        <f t="shared" ca="1" si="2"/>
        <v>0.83305392774148812</v>
      </c>
      <c r="E6">
        <f t="shared" ca="1" si="3"/>
        <v>1.1012130150488262</v>
      </c>
    </row>
    <row r="7" spans="1:5" x14ac:dyDescent="0.4">
      <c r="A7">
        <v>6</v>
      </c>
      <c r="B7">
        <f t="shared" ca="1" si="0"/>
        <v>0.99000484754622187</v>
      </c>
      <c r="C7">
        <f t="shared" ca="1" si="1"/>
        <v>0.8660911948729102</v>
      </c>
      <c r="D7">
        <f t="shared" ca="1" si="2"/>
        <v>0.89051222817349462</v>
      </c>
      <c r="E7">
        <f t="shared" ca="1" si="3"/>
        <v>1.0416166934738602</v>
      </c>
    </row>
    <row r="8" spans="1:5" x14ac:dyDescent="0.4">
      <c r="A8">
        <v>7</v>
      </c>
      <c r="B8">
        <f t="shared" ca="1" si="0"/>
        <v>0.8621872493968028</v>
      </c>
      <c r="C8">
        <f t="shared" ca="1" si="1"/>
        <v>1.051842417049444</v>
      </c>
      <c r="D8">
        <f t="shared" ca="1" si="2"/>
        <v>1.1292511284066451</v>
      </c>
      <c r="E8">
        <f t="shared" ca="1" si="3"/>
        <v>1.1120351040797647</v>
      </c>
    </row>
    <row r="9" spans="1:5" x14ac:dyDescent="0.4">
      <c r="A9">
        <v>8</v>
      </c>
      <c r="B9">
        <f t="shared" ca="1" si="0"/>
        <v>0.97760080122538984</v>
      </c>
      <c r="C9">
        <f t="shared" ca="1" si="1"/>
        <v>1.0461623688970065</v>
      </c>
      <c r="D9">
        <f t="shared" ca="1" si="2"/>
        <v>0.87991049384600362</v>
      </c>
      <c r="E9">
        <f t="shared" ca="1" si="3"/>
        <v>1.0840314924949919</v>
      </c>
    </row>
    <row r="10" spans="1:5" x14ac:dyDescent="0.4">
      <c r="A10">
        <v>9</v>
      </c>
      <c r="B10">
        <f t="shared" ca="1" si="0"/>
        <v>1.0539486588238196</v>
      </c>
      <c r="C10">
        <f t="shared" ca="1" si="1"/>
        <v>1.1246938138352121</v>
      </c>
      <c r="D10">
        <f t="shared" ca="1" si="2"/>
        <v>0.97730268945283583</v>
      </c>
      <c r="E10">
        <f t="shared" ca="1" si="3"/>
        <v>1.0643726496208328</v>
      </c>
    </row>
    <row r="11" spans="1:5" x14ac:dyDescent="0.4">
      <c r="A11">
        <v>10</v>
      </c>
      <c r="B11">
        <f t="shared" ca="1" si="0"/>
        <v>1.1777977501460293</v>
      </c>
      <c r="C11">
        <f t="shared" ca="1" si="1"/>
        <v>1.0834021753587135</v>
      </c>
      <c r="D11">
        <f t="shared" ca="1" si="2"/>
        <v>1.1228990222473125</v>
      </c>
      <c r="E11">
        <f t="shared" ca="1" si="3"/>
        <v>1.1830467808789633</v>
      </c>
    </row>
    <row r="12" spans="1:5" x14ac:dyDescent="0.4">
      <c r="A12">
        <v>11</v>
      </c>
      <c r="B12">
        <f t="shared" ca="1" si="0"/>
        <v>0.87420924581132542</v>
      </c>
      <c r="C12">
        <f t="shared" ca="1" si="1"/>
        <v>1.1971663629403384</v>
      </c>
      <c r="D12">
        <f t="shared" ca="1" si="2"/>
        <v>1.0716573983011752</v>
      </c>
      <c r="E12">
        <f t="shared" ca="1" si="3"/>
        <v>1.106965906314493</v>
      </c>
    </row>
    <row r="13" spans="1:5" x14ac:dyDescent="0.4">
      <c r="A13">
        <v>12</v>
      </c>
      <c r="B13">
        <f t="shared" ca="1" si="0"/>
        <v>1.0019766947937423</v>
      </c>
      <c r="C13">
        <f t="shared" ca="1" si="1"/>
        <v>1.0416106986875096</v>
      </c>
      <c r="D13">
        <f t="shared" ca="1" si="2"/>
        <v>1.1009538392955307</v>
      </c>
      <c r="E13">
        <f t="shared" ca="1" si="3"/>
        <v>0.86896413332906475</v>
      </c>
    </row>
    <row r="14" spans="1:5" x14ac:dyDescent="0.4">
      <c r="A14">
        <v>13</v>
      </c>
      <c r="B14">
        <f t="shared" ca="1" si="0"/>
        <v>1.0635722192679888</v>
      </c>
      <c r="C14">
        <f t="shared" ca="1" si="1"/>
        <v>1.042289174941331</v>
      </c>
      <c r="D14">
        <f t="shared" ca="1" si="2"/>
        <v>0.8538772289267319</v>
      </c>
      <c r="E14">
        <f t="shared" ca="1" si="3"/>
        <v>1.0912490417134357</v>
      </c>
    </row>
    <row r="15" spans="1:5" x14ac:dyDescent="0.4">
      <c r="A15">
        <v>14</v>
      </c>
      <c r="B15">
        <f t="shared" ca="1" si="0"/>
        <v>1.0136546627670746</v>
      </c>
      <c r="C15">
        <f t="shared" ca="1" si="1"/>
        <v>1.1811922826063075</v>
      </c>
      <c r="D15">
        <f t="shared" ca="1" si="2"/>
        <v>0.99359721201929618</v>
      </c>
      <c r="E15">
        <f t="shared" ca="1" si="3"/>
        <v>1.0701950526479673</v>
      </c>
    </row>
    <row r="16" spans="1:5" x14ac:dyDescent="0.4">
      <c r="A16">
        <v>15</v>
      </c>
      <c r="B16">
        <f t="shared" ca="1" si="0"/>
        <v>1.0299633387843623</v>
      </c>
      <c r="C16">
        <f t="shared" ca="1" si="1"/>
        <v>1.0123526504726814</v>
      </c>
      <c r="D16">
        <f t="shared" ca="1" si="2"/>
        <v>0.91131742412595329</v>
      </c>
      <c r="E16">
        <f t="shared" ca="1" si="3"/>
        <v>0.86997886428928595</v>
      </c>
    </row>
    <row r="17" spans="1:5" x14ac:dyDescent="0.4">
      <c r="A17">
        <v>16</v>
      </c>
      <c r="B17">
        <f t="shared" ca="1" si="0"/>
        <v>0.83687342131310294</v>
      </c>
      <c r="C17">
        <f t="shared" ca="1" si="1"/>
        <v>1.011072548435938</v>
      </c>
      <c r="D17">
        <f t="shared" ca="1" si="2"/>
        <v>1.1177418216872668</v>
      </c>
      <c r="E17">
        <f t="shared" ca="1" si="3"/>
        <v>1.1166869033567393</v>
      </c>
    </row>
    <row r="18" spans="1:5" x14ac:dyDescent="0.4">
      <c r="A18">
        <v>17</v>
      </c>
      <c r="B18">
        <f t="shared" ca="1" si="0"/>
        <v>1.0807417217164108</v>
      </c>
      <c r="C18">
        <f t="shared" ca="1" si="1"/>
        <v>0.963413111189663</v>
      </c>
      <c r="D18">
        <f t="shared" ca="1" si="2"/>
        <v>1.0518099271031995</v>
      </c>
      <c r="E18">
        <f t="shared" ca="1" si="3"/>
        <v>0.87197614013220348</v>
      </c>
    </row>
    <row r="19" spans="1:5" x14ac:dyDescent="0.4">
      <c r="A19">
        <v>18</v>
      </c>
      <c r="B19">
        <f t="shared" ca="1" si="0"/>
        <v>1.0900950255631734</v>
      </c>
      <c r="C19">
        <f t="shared" ca="1" si="1"/>
        <v>1.1019591625460863</v>
      </c>
      <c r="D19">
        <f t="shared" ca="1" si="2"/>
        <v>1.0676196542638756</v>
      </c>
      <c r="E19">
        <f t="shared" ca="1" si="3"/>
        <v>1.17718966467358</v>
      </c>
    </row>
    <row r="20" spans="1:5" x14ac:dyDescent="0.4">
      <c r="A20">
        <v>19</v>
      </c>
      <c r="B20">
        <f t="shared" ca="1" si="0"/>
        <v>1.0881791338441307</v>
      </c>
      <c r="C20">
        <f t="shared" ca="1" si="1"/>
        <v>1.0801873431133866</v>
      </c>
      <c r="D20">
        <f t="shared" ca="1" si="2"/>
        <v>1.0719527116468903</v>
      </c>
      <c r="E20">
        <f t="shared" ca="1" si="3"/>
        <v>0.88216798701045362</v>
      </c>
    </row>
    <row r="21" spans="1:5" x14ac:dyDescent="0.4">
      <c r="A21">
        <v>20</v>
      </c>
      <c r="B21">
        <f t="shared" ca="1" si="0"/>
        <v>0.95032993843385205</v>
      </c>
      <c r="C21">
        <f t="shared" ca="1" si="1"/>
        <v>0.87681124703270641</v>
      </c>
      <c r="D21">
        <f t="shared" ca="1" si="2"/>
        <v>0.84009654825859814</v>
      </c>
      <c r="E21">
        <f t="shared" ca="1" si="3"/>
        <v>1.1387261389386465</v>
      </c>
    </row>
    <row r="22" spans="1:5" x14ac:dyDescent="0.4">
      <c r="A22">
        <v>21</v>
      </c>
      <c r="B22">
        <f t="shared" ca="1" si="0"/>
        <v>0.87037547165915985</v>
      </c>
      <c r="C22">
        <f t="shared" ca="1" si="1"/>
        <v>0.80941683472768278</v>
      </c>
      <c r="D22">
        <f t="shared" ca="1" si="2"/>
        <v>1.1129205855722462</v>
      </c>
      <c r="E22">
        <f t="shared" ca="1" si="3"/>
        <v>1.1061579329680229</v>
      </c>
    </row>
    <row r="23" spans="1:5" x14ac:dyDescent="0.4">
      <c r="A23">
        <v>22</v>
      </c>
      <c r="B23">
        <f t="shared" ca="1" si="0"/>
        <v>1.028681380501232</v>
      </c>
      <c r="C23">
        <f t="shared" ca="1" si="1"/>
        <v>1.0615094235207145</v>
      </c>
      <c r="D23">
        <f t="shared" ca="1" si="2"/>
        <v>0.99391180545971025</v>
      </c>
      <c r="E23">
        <f t="shared" ca="1" si="3"/>
        <v>1.1236001419325934</v>
      </c>
    </row>
    <row r="24" spans="1:5" x14ac:dyDescent="0.4">
      <c r="A24">
        <v>23</v>
      </c>
      <c r="B24">
        <f t="shared" ca="1" si="0"/>
        <v>0.92349671921108167</v>
      </c>
      <c r="C24">
        <f t="shared" ca="1" si="1"/>
        <v>0.91131242966982129</v>
      </c>
      <c r="D24">
        <f t="shared" ca="1" si="2"/>
        <v>0.84910884722728708</v>
      </c>
      <c r="E24">
        <f t="shared" ca="1" si="3"/>
        <v>1.1459947589290109</v>
      </c>
    </row>
    <row r="25" spans="1:5" x14ac:dyDescent="0.4">
      <c r="A25">
        <v>24</v>
      </c>
      <c r="B25">
        <f t="shared" ref="B25:B31" ca="1" si="4">RAND()*(1.2-0.8)+0.8</f>
        <v>0.95557564252397786</v>
      </c>
      <c r="C25">
        <f t="shared" ref="C25:C31" ca="1" si="5">RAND()*(1.2-0.8)+0.8</f>
        <v>0.858566005837748</v>
      </c>
      <c r="D25">
        <f t="shared" ref="D25:D31" ca="1" si="6">RAND()*(1.2-0.8)+0.8</f>
        <v>0.8253821030934354</v>
      </c>
      <c r="E25">
        <f t="shared" ref="E25:E31" ca="1" si="7">RAND()*(1.2-0.8)+0.8</f>
        <v>0.80530815416847468</v>
      </c>
    </row>
    <row r="26" spans="1:5" x14ac:dyDescent="0.4">
      <c r="A26">
        <v>25</v>
      </c>
      <c r="B26">
        <f t="shared" ca="1" si="4"/>
        <v>0.83554751888529255</v>
      </c>
      <c r="C26">
        <f t="shared" ca="1" si="5"/>
        <v>1.0180804087240107</v>
      </c>
      <c r="D26">
        <f t="shared" ca="1" si="6"/>
        <v>1.1600575938943176</v>
      </c>
      <c r="E26">
        <f t="shared" ca="1" si="7"/>
        <v>0.82159984951363974</v>
      </c>
    </row>
    <row r="27" spans="1:5" x14ac:dyDescent="0.4">
      <c r="A27">
        <v>26</v>
      </c>
      <c r="B27">
        <f t="shared" ca="1" si="4"/>
        <v>0.96367495632076294</v>
      </c>
      <c r="C27">
        <f t="shared" ca="1" si="5"/>
        <v>1.1530591827821011</v>
      </c>
      <c r="D27">
        <f t="shared" ca="1" si="6"/>
        <v>1.1712674000233325</v>
      </c>
      <c r="E27">
        <f t="shared" ca="1" si="7"/>
        <v>1.1685072362282845</v>
      </c>
    </row>
    <row r="28" spans="1:5" x14ac:dyDescent="0.4">
      <c r="A28">
        <v>27</v>
      </c>
      <c r="B28">
        <f t="shared" ca="1" si="4"/>
        <v>1.0735513758252537</v>
      </c>
      <c r="C28">
        <f t="shared" ca="1" si="5"/>
        <v>0.82763062773398255</v>
      </c>
      <c r="D28">
        <f t="shared" ca="1" si="6"/>
        <v>1.0661186379290957</v>
      </c>
      <c r="E28">
        <f t="shared" ca="1" si="7"/>
        <v>0.87434482661968893</v>
      </c>
    </row>
    <row r="29" spans="1:5" x14ac:dyDescent="0.4">
      <c r="A29">
        <v>28</v>
      </c>
      <c r="B29">
        <f t="shared" ca="1" si="4"/>
        <v>1.0111444603745323</v>
      </c>
      <c r="C29">
        <f t="shared" ca="1" si="5"/>
        <v>0.97159568049789302</v>
      </c>
      <c r="D29">
        <f t="shared" ca="1" si="6"/>
        <v>1.0035278133013223</v>
      </c>
      <c r="E29">
        <f t="shared" ca="1" si="7"/>
        <v>0.90166690493459845</v>
      </c>
    </row>
    <row r="30" spans="1:5" x14ac:dyDescent="0.4">
      <c r="A30">
        <v>29</v>
      </c>
      <c r="B30">
        <f t="shared" ca="1" si="4"/>
        <v>1.0161942561784987</v>
      </c>
      <c r="C30">
        <f t="shared" ca="1" si="5"/>
        <v>0.93239569396643573</v>
      </c>
      <c r="D30">
        <f t="shared" ca="1" si="6"/>
        <v>1.1721482243523176</v>
      </c>
      <c r="E30">
        <f t="shared" ca="1" si="7"/>
        <v>0.88898928013752176</v>
      </c>
    </row>
    <row r="31" spans="1:5" x14ac:dyDescent="0.4">
      <c r="A31">
        <v>30</v>
      </c>
      <c r="B31">
        <f t="shared" ca="1" si="4"/>
        <v>0.91994506766191286</v>
      </c>
      <c r="C31">
        <f t="shared" ca="1" si="5"/>
        <v>0.94655467941778704</v>
      </c>
      <c r="D31">
        <f t="shared" ca="1" si="6"/>
        <v>1.0748318707488189</v>
      </c>
      <c r="E31">
        <f t="shared" ca="1" si="7"/>
        <v>1.0123046914840752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8" sqref="B8"/>
    </sheetView>
  </sheetViews>
  <sheetFormatPr defaultColWidth="9" defaultRowHeight="13.9" x14ac:dyDescent="0.4"/>
  <cols>
    <col min="3" max="3" width="32.796875" customWidth="1"/>
  </cols>
  <sheetData>
    <row r="1" spans="1:3" x14ac:dyDescent="0.4">
      <c r="A1" s="1" t="s">
        <v>31</v>
      </c>
      <c r="B1" s="1" t="s">
        <v>32</v>
      </c>
      <c r="C1" s="1" t="s">
        <v>33</v>
      </c>
    </row>
    <row r="2" spans="1:3" x14ac:dyDescent="0.4">
      <c r="A2" t="s">
        <v>9</v>
      </c>
      <c r="B2">
        <v>6</v>
      </c>
      <c r="C2">
        <v>6</v>
      </c>
    </row>
    <row r="3" spans="1:3" x14ac:dyDescent="0.4">
      <c r="A3" t="s">
        <v>12</v>
      </c>
      <c r="B3">
        <v>11.6</v>
      </c>
      <c r="C3">
        <v>11</v>
      </c>
    </row>
    <row r="4" spans="1:3" x14ac:dyDescent="0.4">
      <c r="A4" t="s">
        <v>10</v>
      </c>
      <c r="B4">
        <v>0.9</v>
      </c>
      <c r="C4">
        <v>1</v>
      </c>
    </row>
    <row r="5" spans="1:3" x14ac:dyDescent="0.4">
      <c r="A5" t="s">
        <v>23</v>
      </c>
      <c r="B5">
        <v>1.1000000000000001</v>
      </c>
      <c r="C5">
        <v>1</v>
      </c>
    </row>
    <row r="6" spans="1:3" x14ac:dyDescent="0.4">
      <c r="A6" t="s">
        <v>25</v>
      </c>
      <c r="B6">
        <v>1.8</v>
      </c>
      <c r="C6">
        <v>2</v>
      </c>
    </row>
    <row r="7" spans="1:3" x14ac:dyDescent="0.4">
      <c r="A7" t="s">
        <v>28</v>
      </c>
      <c r="B7">
        <v>0.5</v>
      </c>
      <c r="C7">
        <v>1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tabSelected="1" topLeftCell="A10" workbookViewId="0">
      <selection activeCell="G1" sqref="G1:H1048576"/>
    </sheetView>
  </sheetViews>
  <sheetFormatPr defaultColWidth="9" defaultRowHeight="13.9" x14ac:dyDescent="0.4"/>
  <cols>
    <col min="3" max="3" width="12.796875" customWidth="1"/>
    <col min="4" max="4" width="13.06640625" customWidth="1"/>
    <col min="5" max="5" width="10.59765625" customWidth="1"/>
    <col min="6" max="6" width="17.796875" customWidth="1"/>
    <col min="7" max="7" width="47" style="6" customWidth="1"/>
    <col min="8" max="8" width="17.2656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0" t="s">
        <v>7</v>
      </c>
    </row>
    <row r="2" spans="1:11" x14ac:dyDescent="0.4">
      <c r="A2" s="3" t="s">
        <v>8</v>
      </c>
      <c r="B2" s="3">
        <v>1</v>
      </c>
      <c r="C2" s="4" t="s">
        <v>9</v>
      </c>
      <c r="D2" s="4" t="s">
        <v>10</v>
      </c>
      <c r="E2" s="5">
        <v>15.37</v>
      </c>
      <c r="F2" s="3"/>
      <c r="H2" s="4">
        <v>0</v>
      </c>
      <c r="K2" s="3"/>
    </row>
    <row r="3" spans="1:11" x14ac:dyDescent="0.4">
      <c r="A3" s="3" t="s">
        <v>11</v>
      </c>
      <c r="B3" s="3">
        <v>2</v>
      </c>
      <c r="C3" s="4" t="s">
        <v>9</v>
      </c>
      <c r="D3" s="4" t="s">
        <v>10</v>
      </c>
      <c r="E3" s="5">
        <v>30.23</v>
      </c>
      <c r="F3" s="3"/>
      <c r="H3" s="4">
        <v>0</v>
      </c>
      <c r="K3" s="3"/>
    </row>
    <row r="4" spans="1:11" x14ac:dyDescent="0.4">
      <c r="A4" s="3" t="s">
        <v>11</v>
      </c>
      <c r="B4" s="3">
        <v>3</v>
      </c>
      <c r="C4" s="4" t="s">
        <v>12</v>
      </c>
      <c r="D4" s="4" t="s">
        <v>10</v>
      </c>
      <c r="E4" s="5">
        <v>28.16</v>
      </c>
      <c r="F4" s="3"/>
      <c r="G4" s="8">
        <v>2</v>
      </c>
      <c r="H4" s="4">
        <v>1</v>
      </c>
      <c r="K4" s="3"/>
    </row>
    <row r="5" spans="1:11" x14ac:dyDescent="0.4">
      <c r="A5" s="3" t="s">
        <v>13</v>
      </c>
      <c r="B5" s="3">
        <v>4</v>
      </c>
      <c r="C5" s="4" t="s">
        <v>12</v>
      </c>
      <c r="D5" s="4" t="s">
        <v>10</v>
      </c>
      <c r="E5" s="5">
        <v>21.25</v>
      </c>
      <c r="F5" s="3"/>
      <c r="G5" s="8"/>
      <c r="H5" s="4">
        <v>0</v>
      </c>
      <c r="K5" s="3"/>
    </row>
    <row r="6" spans="1:11" x14ac:dyDescent="0.4">
      <c r="A6" s="3" t="s">
        <v>14</v>
      </c>
      <c r="B6" s="3">
        <v>5</v>
      </c>
      <c r="C6" s="4" t="s">
        <v>12</v>
      </c>
      <c r="D6" s="4" t="s">
        <v>12</v>
      </c>
      <c r="E6" s="5">
        <v>25.36</v>
      </c>
      <c r="F6" s="3">
        <f>INT(6)</f>
        <v>6</v>
      </c>
      <c r="G6" s="9" t="s">
        <v>34</v>
      </c>
      <c r="H6" s="4">
        <v>4</v>
      </c>
      <c r="K6" s="3"/>
    </row>
    <row r="7" spans="1:11" x14ac:dyDescent="0.4">
      <c r="A7" s="7" t="s">
        <v>16</v>
      </c>
      <c r="B7" s="3">
        <v>6</v>
      </c>
      <c r="C7" s="4" t="s">
        <v>22</v>
      </c>
      <c r="D7" s="4" t="s">
        <v>10</v>
      </c>
      <c r="E7" s="5">
        <v>12</v>
      </c>
      <c r="F7" s="3"/>
      <c r="G7" s="9" t="s">
        <v>15</v>
      </c>
      <c r="H7" s="4">
        <v>4</v>
      </c>
    </row>
    <row r="8" spans="1:11" x14ac:dyDescent="0.4">
      <c r="A8" s="3" t="s">
        <v>14</v>
      </c>
      <c r="B8" s="3">
        <v>7</v>
      </c>
      <c r="C8" s="4" t="s">
        <v>10</v>
      </c>
      <c r="D8" s="4" t="s">
        <v>10</v>
      </c>
      <c r="E8" s="5">
        <v>14.3</v>
      </c>
      <c r="F8" s="3"/>
      <c r="G8" s="9" t="s">
        <v>35</v>
      </c>
      <c r="H8" s="4">
        <v>5</v>
      </c>
    </row>
    <row r="9" spans="1:11" x14ac:dyDescent="0.4">
      <c r="A9" s="3" t="s">
        <v>14</v>
      </c>
      <c r="B9" s="3">
        <v>8</v>
      </c>
      <c r="C9" s="4" t="s">
        <v>9</v>
      </c>
      <c r="D9" s="4" t="s">
        <v>12</v>
      </c>
      <c r="E9" s="5">
        <v>33.78</v>
      </c>
      <c r="F9" s="3"/>
      <c r="G9" s="9" t="s">
        <v>18</v>
      </c>
      <c r="H9" s="4">
        <v>6</v>
      </c>
    </row>
    <row r="10" spans="1:11" x14ac:dyDescent="0.4">
      <c r="A10" s="3" t="s">
        <v>14</v>
      </c>
      <c r="B10" s="3">
        <v>9</v>
      </c>
      <c r="C10" s="4" t="s">
        <v>12</v>
      </c>
      <c r="D10" s="4" t="s">
        <v>12</v>
      </c>
      <c r="E10" s="5">
        <v>36.619999999999997</v>
      </c>
      <c r="F10" s="3"/>
      <c r="G10" s="9" t="s">
        <v>19</v>
      </c>
      <c r="H10" s="4">
        <v>7</v>
      </c>
    </row>
    <row r="11" spans="1:11" x14ac:dyDescent="0.4">
      <c r="A11" s="3" t="s">
        <v>14</v>
      </c>
      <c r="B11" s="3">
        <v>10</v>
      </c>
      <c r="C11" s="4" t="s">
        <v>12</v>
      </c>
      <c r="D11" s="4" t="s">
        <v>12</v>
      </c>
      <c r="E11" s="5">
        <v>36.82</v>
      </c>
      <c r="F11" s="3"/>
      <c r="G11" s="9" t="s">
        <v>20</v>
      </c>
      <c r="H11" s="4">
        <v>8</v>
      </c>
    </row>
    <row r="12" spans="1:11" x14ac:dyDescent="0.4">
      <c r="A12" s="3" t="s">
        <v>14</v>
      </c>
      <c r="B12" s="3">
        <v>11</v>
      </c>
      <c r="C12" s="11" t="s">
        <v>28</v>
      </c>
      <c r="D12" s="4" t="s">
        <v>12</v>
      </c>
      <c r="E12" s="5">
        <v>30.96</v>
      </c>
      <c r="F12" s="3">
        <f>INT(12)</f>
        <v>12</v>
      </c>
      <c r="G12" s="9" t="s">
        <v>21</v>
      </c>
      <c r="H12" s="4">
        <v>9</v>
      </c>
    </row>
    <row r="13" spans="1:11" x14ac:dyDescent="0.4">
      <c r="A13" s="7" t="s">
        <v>16</v>
      </c>
      <c r="B13" s="3">
        <v>12</v>
      </c>
      <c r="C13" s="3" t="s">
        <v>17</v>
      </c>
      <c r="D13" s="3" t="s">
        <v>10</v>
      </c>
      <c r="E13" s="3">
        <v>25.62</v>
      </c>
      <c r="F13" s="3"/>
      <c r="G13" s="9" t="s">
        <v>21</v>
      </c>
      <c r="H13" s="3">
        <v>9</v>
      </c>
    </row>
    <row r="14" spans="1:11" x14ac:dyDescent="0.4">
      <c r="A14" s="3" t="s">
        <v>14</v>
      </c>
      <c r="B14" s="3">
        <v>13</v>
      </c>
      <c r="C14" s="4" t="s">
        <v>23</v>
      </c>
      <c r="D14" s="4" t="s">
        <v>10</v>
      </c>
      <c r="E14" s="5">
        <v>17.09</v>
      </c>
      <c r="F14" s="3"/>
      <c r="G14" s="9" t="s">
        <v>24</v>
      </c>
      <c r="H14" s="4">
        <v>10</v>
      </c>
    </row>
    <row r="15" spans="1:11" x14ac:dyDescent="0.4">
      <c r="A15" s="3" t="s">
        <v>14</v>
      </c>
      <c r="B15" s="3">
        <v>14</v>
      </c>
      <c r="C15" s="4" t="s">
        <v>25</v>
      </c>
      <c r="D15" s="4" t="s">
        <v>12</v>
      </c>
      <c r="E15" s="5">
        <v>27.01</v>
      </c>
      <c r="F15" s="3"/>
      <c r="G15" s="9" t="s">
        <v>26</v>
      </c>
      <c r="H15" s="4">
        <v>11</v>
      </c>
    </row>
    <row r="16" spans="1:11" x14ac:dyDescent="0.4">
      <c r="A16" s="3" t="s">
        <v>14</v>
      </c>
      <c r="B16" s="3">
        <v>15</v>
      </c>
      <c r="C16" s="4" t="s">
        <v>9</v>
      </c>
      <c r="D16" s="4" t="s">
        <v>10</v>
      </c>
      <c r="E16" s="5">
        <v>12.99</v>
      </c>
      <c r="F16" s="3"/>
      <c r="G16" s="9" t="s">
        <v>27</v>
      </c>
      <c r="H16" s="4">
        <v>12</v>
      </c>
    </row>
    <row r="17" spans="1:8" x14ac:dyDescent="0.4">
      <c r="A17" s="3" t="s">
        <v>14</v>
      </c>
      <c r="B17" s="3">
        <v>16</v>
      </c>
      <c r="C17" s="4" t="s">
        <v>36</v>
      </c>
      <c r="D17" s="4" t="s">
        <v>23</v>
      </c>
      <c r="E17" s="5">
        <v>8.4</v>
      </c>
      <c r="F17" s="3"/>
      <c r="G17" s="9" t="s">
        <v>29</v>
      </c>
      <c r="H17" s="4">
        <v>13</v>
      </c>
    </row>
    <row r="18" spans="1:8" x14ac:dyDescent="0.4">
      <c r="G18" s="9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staff</vt:lpstr>
      <vt:lpstr>machine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elegant_pigg</dc:creator>
  <cp:lastModifiedBy>auriel</cp:lastModifiedBy>
  <dcterms:created xsi:type="dcterms:W3CDTF">2015-06-05T18:19:00Z</dcterms:created>
  <dcterms:modified xsi:type="dcterms:W3CDTF">2025-12-30T07:04:21Z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17DBF9DC89F9456D87C7524D01A4A79F_12</vt:lpwstr>
  </property>
  <property fmtid="{D5CDD505-2E9C-101B-9397-08002B2CF9AE}" pid="3" name="KSOProductBuildVer">
    <vt:lpwstr>2052-12.1.0.22529</vt:lpwstr>
  </property>
</Properties>
</file>